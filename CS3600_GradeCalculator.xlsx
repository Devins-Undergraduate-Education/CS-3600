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_Tech\CS 3600\"/>
    </mc:Choice>
  </mc:AlternateContent>
  <xr:revisionPtr revIDLastSave="0" documentId="13_ncr:1_{0C176473-596D-4AB1-BE8D-3B36FEC10A47}" xr6:coauthVersionLast="47" xr6:coauthVersionMax="47" xr10:uidLastSave="{00000000-0000-0000-0000-000000000000}"/>
  <bookViews>
    <workbookView xWindow="11424" yWindow="0" windowWidth="11712" windowHeight="12336" xr2:uid="{9D571FB4-0AF2-4C9E-AA7A-00F8E88125E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C11" i="1"/>
  <c r="D13" i="1"/>
  <c r="F13" i="1" s="1"/>
  <c r="C7" i="1"/>
  <c r="C6" i="1"/>
  <c r="C5" i="1"/>
  <c r="C4" i="1"/>
  <c r="D17" i="1"/>
  <c r="F17" i="1" s="1"/>
  <c r="F20" i="1" s="1"/>
  <c r="D15" i="1"/>
  <c r="F15" i="1" s="1"/>
  <c r="D3" i="1"/>
  <c r="F3" i="1" s="1"/>
  <c r="F8" i="1" l="1"/>
</calcChain>
</file>

<file path=xl/sharedStrings.xml><?xml version="1.0" encoding="utf-8"?>
<sst xmlns="http://schemas.openxmlformats.org/spreadsheetml/2006/main" count="22" uniqueCount="15">
  <si>
    <t>Assignment(s)</t>
  </si>
  <si>
    <t>Score</t>
  </si>
  <si>
    <t>Average</t>
  </si>
  <si>
    <t>Percentage</t>
  </si>
  <si>
    <t>Total</t>
  </si>
  <si>
    <t>N/A</t>
  </si>
  <si>
    <t>One</t>
  </si>
  <si>
    <t>Two</t>
  </si>
  <si>
    <t>Three</t>
  </si>
  <si>
    <t>Four</t>
  </si>
  <si>
    <t>Final Exam</t>
  </si>
  <si>
    <t>Final Grade</t>
  </si>
  <si>
    <t>Quizzes</t>
  </si>
  <si>
    <t>Wrapper(s)</t>
  </si>
  <si>
    <t>Midterm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</si>
</sst>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6D9E-E19E-44D9-AB60-47147E7360A0}">
  <dimension ref="A1:G21"/>
  <sheetViews>
    <sheetView tabSelected="1" zoomScaleNormal="100" workbookViewId="0">
      <selection activeCell="C19" sqref="C19"/>
    </sheetView>
  </sheetViews>
  <sheetFormatPr defaultRowHeight="14.4" x14ac:dyDescent="0.3"/>
  <cols>
    <col min="1" max="1" width="26.33203125" customWidth="1"/>
    <col min="2" max="2" width="17.21875" customWidth="1"/>
    <col min="3" max="4" width="18.77734375" customWidth="1"/>
    <col min="5" max="5" width="13.44140625" customWidth="1"/>
  </cols>
  <sheetData>
    <row r="1" spans="1:7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</row>
    <row r="2" spans="1:7" x14ac:dyDescent="0.3">
      <c r="A2" s="2" t="s">
        <v>12</v>
      </c>
      <c r="B2" s="1" t="s">
        <v>5</v>
      </c>
      <c r="C2" s="1">
        <v>100</v>
      </c>
      <c r="D2" s="3"/>
      <c r="E2" s="3"/>
      <c r="F2" s="3"/>
      <c r="G2" s="3"/>
    </row>
    <row r="3" spans="1:7" x14ac:dyDescent="0.3">
      <c r="A3" s="3"/>
      <c r="B3" s="4"/>
      <c r="C3" s="4"/>
      <c r="D3" s="1">
        <f>C2</f>
        <v>100</v>
      </c>
      <c r="E3" s="1">
        <v>0.02</v>
      </c>
      <c r="F3" s="1">
        <f>E3*D3</f>
        <v>2</v>
      </c>
      <c r="G3" s="3"/>
    </row>
    <row r="4" spans="1:7" x14ac:dyDescent="0.3">
      <c r="A4" s="2" t="s">
        <v>0</v>
      </c>
      <c r="B4" s="1" t="s">
        <v>6</v>
      </c>
      <c r="C4" s="1">
        <f>19/20*100</f>
        <v>95</v>
      </c>
      <c r="D4" s="3"/>
      <c r="E4" s="3"/>
      <c r="F4" s="3"/>
      <c r="G4" s="3"/>
    </row>
    <row r="5" spans="1:7" x14ac:dyDescent="0.3">
      <c r="A5" s="3"/>
      <c r="B5" s="1" t="s">
        <v>7</v>
      </c>
      <c r="C5" s="6">
        <f>24/22*100</f>
        <v>109.09090909090908</v>
      </c>
      <c r="D5" s="3"/>
      <c r="E5" s="3"/>
      <c r="F5" s="3"/>
      <c r="G5" s="3"/>
    </row>
    <row r="6" spans="1:7" x14ac:dyDescent="0.3">
      <c r="A6" s="3"/>
      <c r="B6" s="1" t="s">
        <v>8</v>
      </c>
      <c r="C6" s="6">
        <f>20/17*100</f>
        <v>117.64705882352942</v>
      </c>
      <c r="D6" s="3"/>
      <c r="E6" s="3"/>
      <c r="F6" s="3"/>
      <c r="G6" s="3"/>
    </row>
    <row r="7" spans="1:7" x14ac:dyDescent="0.3">
      <c r="A7" s="3"/>
      <c r="B7" s="1" t="s">
        <v>9</v>
      </c>
      <c r="C7" s="1">
        <f>(22/20)*100</f>
        <v>110.00000000000001</v>
      </c>
      <c r="D7" s="3"/>
      <c r="E7" s="3"/>
      <c r="F7" s="3"/>
      <c r="G7" s="3"/>
    </row>
    <row r="8" spans="1:7" x14ac:dyDescent="0.3">
      <c r="A8" s="3"/>
      <c r="B8" s="3"/>
      <c r="C8" s="3"/>
      <c r="D8" s="1">
        <f>AVERAGE(C4:C7)</f>
        <v>107.93449197860963</v>
      </c>
      <c r="E8" s="5">
        <v>0.6</v>
      </c>
      <c r="F8" s="1">
        <f>D8*E8</f>
        <v>64.76069518716578</v>
      </c>
      <c r="G8" s="3"/>
    </row>
    <row r="9" spans="1:7" x14ac:dyDescent="0.3">
      <c r="A9" s="2" t="s">
        <v>13</v>
      </c>
      <c r="B9" s="1" t="s">
        <v>6</v>
      </c>
      <c r="C9" s="1">
        <v>100</v>
      </c>
      <c r="D9" s="3"/>
      <c r="E9" s="3"/>
      <c r="F9" s="3"/>
      <c r="G9" s="3"/>
    </row>
    <row r="10" spans="1:7" x14ac:dyDescent="0.3">
      <c r="A10" s="3"/>
      <c r="B10" s="1" t="s">
        <v>7</v>
      </c>
      <c r="C10" s="1">
        <v>100</v>
      </c>
      <c r="D10" s="3"/>
      <c r="E10" s="3"/>
      <c r="F10" s="3"/>
      <c r="G10" s="3"/>
    </row>
    <row r="11" spans="1:7" x14ac:dyDescent="0.3">
      <c r="A11" s="3"/>
      <c r="B11" s="1" t="s">
        <v>8</v>
      </c>
      <c r="C11" s="1">
        <f>3.25/4*100</f>
        <v>81.25</v>
      </c>
      <c r="D11" s="3"/>
      <c r="E11" s="3"/>
      <c r="F11" s="3"/>
      <c r="G11" s="3"/>
    </row>
    <row r="12" spans="1:7" x14ac:dyDescent="0.3">
      <c r="A12" s="3"/>
      <c r="B12" s="1" t="s">
        <v>9</v>
      </c>
      <c r="C12" s="1">
        <v>100</v>
      </c>
      <c r="D12" s="3"/>
      <c r="E12" s="3"/>
      <c r="F12" s="3"/>
      <c r="G12" s="3"/>
    </row>
    <row r="13" spans="1:7" x14ac:dyDescent="0.3">
      <c r="A13" s="3"/>
      <c r="B13" s="3"/>
      <c r="C13" s="3"/>
      <c r="D13" s="1">
        <f>AVERAGE(C9:C12)</f>
        <v>95.3125</v>
      </c>
      <c r="E13" s="1">
        <v>0.08</v>
      </c>
      <c r="F13" s="1">
        <f>D13*E13</f>
        <v>7.625</v>
      </c>
      <c r="G13" s="3"/>
    </row>
    <row r="14" spans="1:7" x14ac:dyDescent="0.3">
      <c r="A14" s="2" t="s">
        <v>14</v>
      </c>
      <c r="B14" s="1" t="s">
        <v>5</v>
      </c>
      <c r="C14" s="1">
        <v>92</v>
      </c>
      <c r="D14" s="3"/>
      <c r="E14" s="3"/>
      <c r="F14" s="3"/>
      <c r="G14" s="3"/>
    </row>
    <row r="15" spans="1:7" x14ac:dyDescent="0.3">
      <c r="A15" s="3"/>
      <c r="B15" s="3"/>
      <c r="C15" s="3"/>
      <c r="D15" s="1">
        <f>AVERAGE(C14:C14)</f>
        <v>92</v>
      </c>
      <c r="E15" s="1">
        <v>0.15</v>
      </c>
      <c r="F15" s="1">
        <f>E15*D15</f>
        <v>13.799999999999999</v>
      </c>
      <c r="G15" s="3"/>
    </row>
    <row r="16" spans="1:7" x14ac:dyDescent="0.3">
      <c r="A16" s="2" t="s">
        <v>10</v>
      </c>
      <c r="B16" s="1" t="s">
        <v>5</v>
      </c>
      <c r="C16" s="1">
        <v>63.523000000000003</v>
      </c>
      <c r="D16" s="3"/>
      <c r="E16" s="3"/>
      <c r="F16" s="3"/>
      <c r="G16" s="3"/>
    </row>
    <row r="17" spans="1:7" x14ac:dyDescent="0.3">
      <c r="A17" s="3"/>
      <c r="B17" s="3"/>
      <c r="C17" s="3"/>
      <c r="D17" s="1">
        <f>C16</f>
        <v>63.523000000000003</v>
      </c>
      <c r="E17" s="1">
        <v>0.15</v>
      </c>
      <c r="F17" s="1">
        <f>D17*E17</f>
        <v>9.5284499999999994</v>
      </c>
      <c r="G17" s="3"/>
    </row>
    <row r="18" spans="1:7" x14ac:dyDescent="0.3">
      <c r="A18" s="3"/>
      <c r="B18" s="3"/>
      <c r="C18" s="3"/>
      <c r="D18" s="3"/>
      <c r="E18" s="3"/>
      <c r="F18" s="3"/>
      <c r="G18" s="3"/>
    </row>
    <row r="19" spans="1:7" x14ac:dyDescent="0.3">
      <c r="A19" s="3"/>
      <c r="B19" s="3"/>
      <c r="C19" s="3"/>
      <c r="D19" s="3"/>
      <c r="E19" s="3"/>
      <c r="F19" s="3"/>
      <c r="G19" s="3"/>
    </row>
    <row r="20" spans="1:7" x14ac:dyDescent="0.3">
      <c r="A20" s="3"/>
      <c r="B20" s="3"/>
      <c r="C20" s="3"/>
      <c r="D20" s="3"/>
      <c r="E20" s="2" t="s">
        <v>11</v>
      </c>
      <c r="F20" s="2">
        <f>SUM(F2:F17) + 2 - 0.34</f>
        <v>99.374145187165766</v>
      </c>
      <c r="G20" s="3"/>
    </row>
    <row r="21" spans="1:7" x14ac:dyDescent="0.3">
      <c r="A21" s="3"/>
      <c r="B21" s="3"/>
      <c r="C21" s="3"/>
      <c r="D21" s="3"/>
      <c r="E21" s="3"/>
      <c r="F21" s="3"/>
      <c r="G21" s="3"/>
    </row>
  </sheetData>
  <pageMargins left="0.7" right="0.7" top="0.75" bottom="0.75" header="0.3" footer="0.3"/>
  <ignoredErrors>
    <ignoredError sqref="C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2023-10-19T18:30:15Z</dcterms:created>
  <dcterms:modified xsi:type="dcterms:W3CDTF">2024-05-03T17:44:02Z</dcterms:modified>
</cp:coreProperties>
</file>